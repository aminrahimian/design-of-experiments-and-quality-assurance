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sherwin/OneDrive - University of Pittsburgh/Courses/2020_Spring_IE1072_Design of Experiments and Quality Assurance/Week 2/"/>
    </mc:Choice>
  </mc:AlternateContent>
  <xr:revisionPtr revIDLastSave="20" documentId="8_{A916A7A5-0349-6C4A-9CBC-F807BA411576}" xr6:coauthVersionLast="45" xr6:coauthVersionMax="45" xr10:uidLastSave="{147125C9-76E5-4C41-BDCF-456AD7A74725}"/>
  <bookViews>
    <workbookView xWindow="7800" yWindow="2480" windowWidth="15420" windowHeight="17440" xr2:uid="{BD83C613-C126-FC47-A1B3-1F40EE1131C3}"/>
  </bookViews>
  <sheets>
    <sheet name="Sheet2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" l="1"/>
  <c r="D2" i="1"/>
  <c r="D5" i="1" s="1"/>
</calcChain>
</file>

<file path=xl/sharedStrings.xml><?xml version="1.0" encoding="utf-8"?>
<sst xmlns="http://schemas.openxmlformats.org/spreadsheetml/2006/main" count="9" uniqueCount="9">
  <si>
    <t>Torque</t>
  </si>
  <si>
    <t>Machine</t>
  </si>
  <si>
    <t>Row Labels</t>
  </si>
  <si>
    <t>(blank)</t>
  </si>
  <si>
    <t>Grand Total</t>
  </si>
  <si>
    <t>Average of Torque</t>
  </si>
  <si>
    <t>StdDev of Torque</t>
  </si>
  <si>
    <t>StdDevp of Torque</t>
  </si>
  <si>
    <t>Count of 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</si>
</sst>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3857.527902430556" createdVersion="6" refreshedVersion="6" minRefreshableVersion="3" recordCount="69" xr:uid="{B8EAC8CB-3126-C24A-B587-A29D3EAB2DF5}">
  <cacheSource type="worksheet">
    <worksheetSource ref="A1:B1048576" sheet="Sheet1"/>
  </cacheSource>
  <cacheFields count="2">
    <cacheField name="Torque" numFmtId="0">
      <sharedItems containsString="0" containsBlank="1" containsNumber="1" containsInteger="1" minValue="10" maxValue="37" count="22">
        <n v="24"/>
        <n v="14"/>
        <n v="18"/>
        <n v="27"/>
        <n v="17"/>
        <n v="32"/>
        <n v="31"/>
        <n v="21"/>
        <n v="26"/>
        <n v="34"/>
        <n v="28"/>
        <n v="16"/>
        <n v="22"/>
        <n v="37"/>
        <n v="36"/>
        <n v="20"/>
        <n v="19"/>
        <n v="30"/>
        <n v="15"/>
        <n v="25"/>
        <n v="10"/>
        <m/>
      </sharedItems>
    </cacheField>
    <cacheField name="Machine" numFmtId="0">
      <sharedItems containsString="0" containsBlank="1" containsNumber="1" containsInteger="1" minValue="1" maxValue="2" count="3">
        <n v="2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x v="0"/>
  </r>
  <r>
    <x v="1"/>
    <x v="1"/>
  </r>
  <r>
    <x v="2"/>
    <x v="1"/>
  </r>
  <r>
    <x v="3"/>
    <x v="0"/>
  </r>
  <r>
    <x v="4"/>
    <x v="0"/>
  </r>
  <r>
    <x v="5"/>
    <x v="0"/>
  </r>
  <r>
    <x v="6"/>
    <x v="0"/>
  </r>
  <r>
    <x v="3"/>
    <x v="0"/>
  </r>
  <r>
    <x v="7"/>
    <x v="0"/>
  </r>
  <r>
    <x v="3"/>
    <x v="1"/>
  </r>
  <r>
    <x v="0"/>
    <x v="1"/>
  </r>
  <r>
    <x v="7"/>
    <x v="0"/>
  </r>
  <r>
    <x v="0"/>
    <x v="1"/>
  </r>
  <r>
    <x v="8"/>
    <x v="0"/>
  </r>
  <r>
    <x v="6"/>
    <x v="0"/>
  </r>
  <r>
    <x v="9"/>
    <x v="0"/>
  </r>
  <r>
    <x v="10"/>
    <x v="1"/>
  </r>
  <r>
    <x v="5"/>
    <x v="0"/>
  </r>
  <r>
    <x v="0"/>
    <x v="0"/>
  </r>
  <r>
    <x v="11"/>
    <x v="0"/>
  </r>
  <r>
    <x v="12"/>
    <x v="1"/>
  </r>
  <r>
    <x v="13"/>
    <x v="0"/>
  </r>
  <r>
    <x v="14"/>
    <x v="0"/>
  </r>
  <r>
    <x v="7"/>
    <x v="1"/>
  </r>
  <r>
    <x v="11"/>
    <x v="1"/>
  </r>
  <r>
    <x v="4"/>
    <x v="1"/>
  </r>
  <r>
    <x v="12"/>
    <x v="1"/>
  </r>
  <r>
    <x v="9"/>
    <x v="0"/>
  </r>
  <r>
    <x v="15"/>
    <x v="0"/>
  </r>
  <r>
    <x v="16"/>
    <x v="0"/>
  </r>
  <r>
    <x v="11"/>
    <x v="1"/>
  </r>
  <r>
    <x v="11"/>
    <x v="1"/>
  </r>
  <r>
    <x v="2"/>
    <x v="1"/>
  </r>
  <r>
    <x v="17"/>
    <x v="1"/>
  </r>
  <r>
    <x v="7"/>
    <x v="0"/>
  </r>
  <r>
    <x v="11"/>
    <x v="1"/>
  </r>
  <r>
    <x v="1"/>
    <x v="1"/>
  </r>
  <r>
    <x v="18"/>
    <x v="1"/>
  </r>
  <r>
    <x v="1"/>
    <x v="0"/>
  </r>
  <r>
    <x v="1"/>
    <x v="0"/>
  </r>
  <r>
    <x v="19"/>
    <x v="1"/>
  </r>
  <r>
    <x v="18"/>
    <x v="1"/>
  </r>
  <r>
    <x v="11"/>
    <x v="1"/>
  </r>
  <r>
    <x v="18"/>
    <x v="1"/>
  </r>
  <r>
    <x v="16"/>
    <x v="0"/>
  </r>
  <r>
    <x v="18"/>
    <x v="1"/>
  </r>
  <r>
    <x v="18"/>
    <x v="0"/>
  </r>
  <r>
    <x v="16"/>
    <x v="1"/>
  </r>
  <r>
    <x v="16"/>
    <x v="1"/>
  </r>
  <r>
    <x v="17"/>
    <x v="0"/>
  </r>
  <r>
    <x v="0"/>
    <x v="0"/>
  </r>
  <r>
    <x v="20"/>
    <x v="1"/>
  </r>
  <r>
    <x v="18"/>
    <x v="0"/>
  </r>
  <r>
    <x v="4"/>
    <x v="0"/>
  </r>
  <r>
    <x v="4"/>
    <x v="0"/>
  </r>
  <r>
    <x v="7"/>
    <x v="0"/>
  </r>
  <r>
    <x v="9"/>
    <x v="0"/>
  </r>
  <r>
    <x v="12"/>
    <x v="1"/>
  </r>
  <r>
    <x v="4"/>
    <x v="1"/>
  </r>
  <r>
    <x v="18"/>
    <x v="1"/>
  </r>
  <r>
    <x v="4"/>
    <x v="1"/>
  </r>
  <r>
    <x v="15"/>
    <x v="1"/>
  </r>
  <r>
    <x v="4"/>
    <x v="1"/>
  </r>
  <r>
    <x v="15"/>
    <x v="1"/>
  </r>
  <r>
    <x v="18"/>
    <x v="1"/>
  </r>
  <r>
    <x v="4"/>
    <x v="1"/>
  </r>
  <r>
    <x v="0"/>
    <x v="0"/>
  </r>
  <r>
    <x v="15"/>
    <x v="1"/>
  </r>
  <r>
    <x v="2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497B0-5B4E-9444-8157-18F02817C40E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7" firstHeaderRow="0" firstDataRow="1" firstDataCol="1"/>
  <pivotFields count="2">
    <pivotField dataField="1" showAll="0">
      <items count="23">
        <item x="20"/>
        <item x="1"/>
        <item x="18"/>
        <item x="11"/>
        <item x="4"/>
        <item x="2"/>
        <item x="16"/>
        <item x="15"/>
        <item x="7"/>
        <item x="12"/>
        <item x="0"/>
        <item x="19"/>
        <item x="8"/>
        <item x="3"/>
        <item x="10"/>
        <item x="17"/>
        <item x="6"/>
        <item x="5"/>
        <item x="9"/>
        <item x="14"/>
        <item x="13"/>
        <item x="21"/>
        <item t="default"/>
      </items>
    </pivotField>
    <pivotField axis="axisRow" showAll="0">
      <items count="4">
        <item x="1"/>
        <item x="0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Torque" fld="0" subtotal="average" baseField="0" baseItem="0"/>
    <dataField name="StdDev of Torque" fld="0" subtotal="stdDev" baseField="0" baseItem="0"/>
    <dataField name="StdDevp of Torque" fld="0" subtotal="stdDevp" baseField="0" baseItem="0"/>
    <dataField name="Count of Torqu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4508-AD21-A54E-911D-C211CE7D582E}">
  <dimension ref="A3:E7"/>
  <sheetViews>
    <sheetView tabSelected="1" workbookViewId="0">
      <selection activeCell="E11" sqref="E11"/>
    </sheetView>
  </sheetViews>
  <sheetFormatPr baseColWidth="10" defaultRowHeight="16" x14ac:dyDescent="0.2"/>
  <cols>
    <col min="1" max="1" width="13" bestFit="1" customWidth="1"/>
    <col min="2" max="2" width="16.5" bestFit="1" customWidth="1"/>
    <col min="3" max="3" width="15.5" bestFit="1" customWidth="1"/>
    <col min="4" max="4" width="16.6640625" bestFit="1" customWidth="1"/>
    <col min="5" max="5" width="14.1640625" bestFit="1" customWidth="1"/>
  </cols>
  <sheetData>
    <row r="3" spans="1:5" x14ac:dyDescent="0.2">
      <c r="A3" s="1" t="s">
        <v>2</v>
      </c>
      <c r="B3" t="s">
        <v>5</v>
      </c>
      <c r="C3" t="s">
        <v>6</v>
      </c>
      <c r="D3" t="s">
        <v>7</v>
      </c>
      <c r="E3" t="s">
        <v>8</v>
      </c>
    </row>
    <row r="4" spans="1:5" x14ac:dyDescent="0.2">
      <c r="A4" s="2">
        <v>1</v>
      </c>
      <c r="B4" s="3">
        <v>18.666666666666668</v>
      </c>
      <c r="C4" s="3">
        <v>4.3948021245882858</v>
      </c>
      <c r="D4" s="3">
        <v>4.333333333333333</v>
      </c>
      <c r="E4" s="3">
        <v>36</v>
      </c>
    </row>
    <row r="5" spans="1:5" x14ac:dyDescent="0.2">
      <c r="A5" s="2">
        <v>2</v>
      </c>
      <c r="B5" s="3">
        <v>24.1875</v>
      </c>
      <c r="C5" s="3">
        <v>7.1185242218295635</v>
      </c>
      <c r="D5" s="3">
        <v>7.0064144717537227</v>
      </c>
      <c r="E5" s="3">
        <v>32</v>
      </c>
    </row>
    <row r="6" spans="1:5" x14ac:dyDescent="0.2">
      <c r="A6" s="2" t="s">
        <v>3</v>
      </c>
      <c r="B6" s="3"/>
      <c r="C6" s="3"/>
      <c r="D6" s="3"/>
      <c r="E6" s="3"/>
    </row>
    <row r="7" spans="1:5" x14ac:dyDescent="0.2">
      <c r="A7" s="2" t="s">
        <v>4</v>
      </c>
      <c r="B7" s="3">
        <v>21.264705882352942</v>
      </c>
      <c r="C7" s="3">
        <v>6.4220182047897874</v>
      </c>
      <c r="D7" s="3">
        <v>6.374622588733307</v>
      </c>
      <c r="E7" s="3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032DE-452E-DA4A-A07B-40235E88D4EC}">
  <dimension ref="A1:D69"/>
  <sheetViews>
    <sheetView workbookViewId="0">
      <selection sqref="A1:B10485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</row>
    <row r="2" spans="1:4" x14ac:dyDescent="0.2">
      <c r="A2">
        <v>24</v>
      </c>
      <c r="B2">
        <v>2</v>
      </c>
      <c r="D2">
        <f>STDEV(A2:A69)</f>
        <v>6.4220182047897874</v>
      </c>
    </row>
    <row r="3" spans="1:4" x14ac:dyDescent="0.2">
      <c r="A3">
        <v>14</v>
      </c>
      <c r="B3">
        <v>1</v>
      </c>
      <c r="D3">
        <f>STDEVP(A2:A69)</f>
        <v>6.374622588733307</v>
      </c>
    </row>
    <row r="4" spans="1:4" x14ac:dyDescent="0.2">
      <c r="A4">
        <v>18</v>
      </c>
      <c r="B4">
        <v>1</v>
      </c>
    </row>
    <row r="5" spans="1:4" x14ac:dyDescent="0.2">
      <c r="A5">
        <v>27</v>
      </c>
      <c r="B5">
        <v>2</v>
      </c>
      <c r="D5">
        <f>D2/SQRT(COUNT(A2:A69))</f>
        <v>0.77878409964670003</v>
      </c>
    </row>
    <row r="6" spans="1:4" x14ac:dyDescent="0.2">
      <c r="A6">
        <v>17</v>
      </c>
      <c r="B6">
        <v>2</v>
      </c>
    </row>
    <row r="7" spans="1:4" x14ac:dyDescent="0.2">
      <c r="A7">
        <v>32</v>
      </c>
      <c r="B7">
        <v>2</v>
      </c>
    </row>
    <row r="8" spans="1:4" x14ac:dyDescent="0.2">
      <c r="A8">
        <v>31</v>
      </c>
      <c r="B8">
        <v>2</v>
      </c>
    </row>
    <row r="9" spans="1:4" x14ac:dyDescent="0.2">
      <c r="A9">
        <v>27</v>
      </c>
      <c r="B9">
        <v>2</v>
      </c>
    </row>
    <row r="10" spans="1:4" x14ac:dyDescent="0.2">
      <c r="A10">
        <v>21</v>
      </c>
      <c r="B10">
        <v>2</v>
      </c>
    </row>
    <row r="11" spans="1:4" x14ac:dyDescent="0.2">
      <c r="A11">
        <v>27</v>
      </c>
      <c r="B11">
        <v>1</v>
      </c>
    </row>
    <row r="12" spans="1:4" x14ac:dyDescent="0.2">
      <c r="A12">
        <v>24</v>
      </c>
      <c r="B12">
        <v>1</v>
      </c>
    </row>
    <row r="13" spans="1:4" x14ac:dyDescent="0.2">
      <c r="A13">
        <v>21</v>
      </c>
      <c r="B13">
        <v>2</v>
      </c>
    </row>
    <row r="14" spans="1:4" x14ac:dyDescent="0.2">
      <c r="A14">
        <v>24</v>
      </c>
      <c r="B14">
        <v>1</v>
      </c>
    </row>
    <row r="15" spans="1:4" x14ac:dyDescent="0.2">
      <c r="A15">
        <v>26</v>
      </c>
      <c r="B15">
        <v>2</v>
      </c>
    </row>
    <row r="16" spans="1:4" x14ac:dyDescent="0.2">
      <c r="A16">
        <v>31</v>
      </c>
      <c r="B16">
        <v>2</v>
      </c>
    </row>
    <row r="17" spans="1:2" x14ac:dyDescent="0.2">
      <c r="A17">
        <v>34</v>
      </c>
      <c r="B17">
        <v>2</v>
      </c>
    </row>
    <row r="18" spans="1:2" x14ac:dyDescent="0.2">
      <c r="A18">
        <v>28</v>
      </c>
      <c r="B18">
        <v>1</v>
      </c>
    </row>
    <row r="19" spans="1:2" x14ac:dyDescent="0.2">
      <c r="A19">
        <v>32</v>
      </c>
      <c r="B19">
        <v>2</v>
      </c>
    </row>
    <row r="20" spans="1:2" x14ac:dyDescent="0.2">
      <c r="A20">
        <v>24</v>
      </c>
      <c r="B20">
        <v>2</v>
      </c>
    </row>
    <row r="21" spans="1:2" x14ac:dyDescent="0.2">
      <c r="A21">
        <v>16</v>
      </c>
      <c r="B21">
        <v>2</v>
      </c>
    </row>
    <row r="22" spans="1:2" x14ac:dyDescent="0.2">
      <c r="A22">
        <v>22</v>
      </c>
      <c r="B22">
        <v>1</v>
      </c>
    </row>
    <row r="23" spans="1:2" x14ac:dyDescent="0.2">
      <c r="A23">
        <v>37</v>
      </c>
      <c r="B23">
        <v>2</v>
      </c>
    </row>
    <row r="24" spans="1:2" x14ac:dyDescent="0.2">
      <c r="A24">
        <v>36</v>
      </c>
      <c r="B24">
        <v>2</v>
      </c>
    </row>
    <row r="25" spans="1:2" x14ac:dyDescent="0.2">
      <c r="A25">
        <v>21</v>
      </c>
      <c r="B25">
        <v>1</v>
      </c>
    </row>
    <row r="26" spans="1:2" x14ac:dyDescent="0.2">
      <c r="A26">
        <v>16</v>
      </c>
      <c r="B26">
        <v>1</v>
      </c>
    </row>
    <row r="27" spans="1:2" x14ac:dyDescent="0.2">
      <c r="A27">
        <v>17</v>
      </c>
      <c r="B27">
        <v>1</v>
      </c>
    </row>
    <row r="28" spans="1:2" x14ac:dyDescent="0.2">
      <c r="A28">
        <v>22</v>
      </c>
      <c r="B28">
        <v>1</v>
      </c>
    </row>
    <row r="29" spans="1:2" x14ac:dyDescent="0.2">
      <c r="A29">
        <v>34</v>
      </c>
      <c r="B29">
        <v>2</v>
      </c>
    </row>
    <row r="30" spans="1:2" x14ac:dyDescent="0.2">
      <c r="A30">
        <v>20</v>
      </c>
      <c r="B30">
        <v>2</v>
      </c>
    </row>
    <row r="31" spans="1:2" x14ac:dyDescent="0.2">
      <c r="A31">
        <v>19</v>
      </c>
      <c r="B31">
        <v>2</v>
      </c>
    </row>
    <row r="32" spans="1:2" x14ac:dyDescent="0.2">
      <c r="A32">
        <v>16</v>
      </c>
      <c r="B32">
        <v>1</v>
      </c>
    </row>
    <row r="33" spans="1:2" x14ac:dyDescent="0.2">
      <c r="A33">
        <v>16</v>
      </c>
      <c r="B33">
        <v>1</v>
      </c>
    </row>
    <row r="34" spans="1:2" x14ac:dyDescent="0.2">
      <c r="A34">
        <v>18</v>
      </c>
      <c r="B34">
        <v>1</v>
      </c>
    </row>
    <row r="35" spans="1:2" x14ac:dyDescent="0.2">
      <c r="A35">
        <v>30</v>
      </c>
      <c r="B35">
        <v>1</v>
      </c>
    </row>
    <row r="36" spans="1:2" x14ac:dyDescent="0.2">
      <c r="A36">
        <v>21</v>
      </c>
      <c r="B36">
        <v>2</v>
      </c>
    </row>
    <row r="37" spans="1:2" x14ac:dyDescent="0.2">
      <c r="A37">
        <v>16</v>
      </c>
      <c r="B37">
        <v>1</v>
      </c>
    </row>
    <row r="38" spans="1:2" x14ac:dyDescent="0.2">
      <c r="A38">
        <v>14</v>
      </c>
      <c r="B38">
        <v>1</v>
      </c>
    </row>
    <row r="39" spans="1:2" x14ac:dyDescent="0.2">
      <c r="A39">
        <v>15</v>
      </c>
      <c r="B39">
        <v>1</v>
      </c>
    </row>
    <row r="40" spans="1:2" x14ac:dyDescent="0.2">
      <c r="A40">
        <v>14</v>
      </c>
      <c r="B40">
        <v>2</v>
      </c>
    </row>
    <row r="41" spans="1:2" x14ac:dyDescent="0.2">
      <c r="A41">
        <v>14</v>
      </c>
      <c r="B41">
        <v>2</v>
      </c>
    </row>
    <row r="42" spans="1:2" x14ac:dyDescent="0.2">
      <c r="A42">
        <v>25</v>
      </c>
      <c r="B42">
        <v>1</v>
      </c>
    </row>
    <row r="43" spans="1:2" x14ac:dyDescent="0.2">
      <c r="A43">
        <v>15</v>
      </c>
      <c r="B43">
        <v>1</v>
      </c>
    </row>
    <row r="44" spans="1:2" x14ac:dyDescent="0.2">
      <c r="A44">
        <v>16</v>
      </c>
      <c r="B44">
        <v>1</v>
      </c>
    </row>
    <row r="45" spans="1:2" x14ac:dyDescent="0.2">
      <c r="A45">
        <v>15</v>
      </c>
      <c r="B45">
        <v>1</v>
      </c>
    </row>
    <row r="46" spans="1:2" x14ac:dyDescent="0.2">
      <c r="A46">
        <v>19</v>
      </c>
      <c r="B46">
        <v>2</v>
      </c>
    </row>
    <row r="47" spans="1:2" x14ac:dyDescent="0.2">
      <c r="A47">
        <v>15</v>
      </c>
      <c r="B47">
        <v>1</v>
      </c>
    </row>
    <row r="48" spans="1:2" x14ac:dyDescent="0.2">
      <c r="A48">
        <v>15</v>
      </c>
      <c r="B48">
        <v>2</v>
      </c>
    </row>
    <row r="49" spans="1:2" x14ac:dyDescent="0.2">
      <c r="A49">
        <v>19</v>
      </c>
      <c r="B49">
        <v>1</v>
      </c>
    </row>
    <row r="50" spans="1:2" x14ac:dyDescent="0.2">
      <c r="A50">
        <v>19</v>
      </c>
      <c r="B50">
        <v>1</v>
      </c>
    </row>
    <row r="51" spans="1:2" x14ac:dyDescent="0.2">
      <c r="A51">
        <v>30</v>
      </c>
      <c r="B51">
        <v>2</v>
      </c>
    </row>
    <row r="52" spans="1:2" x14ac:dyDescent="0.2">
      <c r="A52">
        <v>24</v>
      </c>
      <c r="B52">
        <v>2</v>
      </c>
    </row>
    <row r="53" spans="1:2" x14ac:dyDescent="0.2">
      <c r="A53">
        <v>10</v>
      </c>
      <c r="B53">
        <v>1</v>
      </c>
    </row>
    <row r="54" spans="1:2" x14ac:dyDescent="0.2">
      <c r="A54">
        <v>15</v>
      </c>
      <c r="B54">
        <v>2</v>
      </c>
    </row>
    <row r="55" spans="1:2" x14ac:dyDescent="0.2">
      <c r="A55">
        <v>17</v>
      </c>
      <c r="B55">
        <v>2</v>
      </c>
    </row>
    <row r="56" spans="1:2" x14ac:dyDescent="0.2">
      <c r="A56">
        <v>17</v>
      </c>
      <c r="B56">
        <v>2</v>
      </c>
    </row>
    <row r="57" spans="1:2" x14ac:dyDescent="0.2">
      <c r="A57">
        <v>21</v>
      </c>
      <c r="B57">
        <v>2</v>
      </c>
    </row>
    <row r="58" spans="1:2" x14ac:dyDescent="0.2">
      <c r="A58">
        <v>34</v>
      </c>
      <c r="B58">
        <v>2</v>
      </c>
    </row>
    <row r="59" spans="1:2" x14ac:dyDescent="0.2">
      <c r="A59">
        <v>22</v>
      </c>
      <c r="B59">
        <v>1</v>
      </c>
    </row>
    <row r="60" spans="1:2" x14ac:dyDescent="0.2">
      <c r="A60">
        <v>17</v>
      </c>
      <c r="B60">
        <v>1</v>
      </c>
    </row>
    <row r="61" spans="1:2" x14ac:dyDescent="0.2">
      <c r="A61">
        <v>15</v>
      </c>
      <c r="B61">
        <v>1</v>
      </c>
    </row>
    <row r="62" spans="1:2" x14ac:dyDescent="0.2">
      <c r="A62">
        <v>17</v>
      </c>
      <c r="B62">
        <v>1</v>
      </c>
    </row>
    <row r="63" spans="1:2" x14ac:dyDescent="0.2">
      <c r="A63">
        <v>20</v>
      </c>
      <c r="B63">
        <v>1</v>
      </c>
    </row>
    <row r="64" spans="1:2" x14ac:dyDescent="0.2">
      <c r="A64">
        <v>17</v>
      </c>
      <c r="B64">
        <v>1</v>
      </c>
    </row>
    <row r="65" spans="1:2" x14ac:dyDescent="0.2">
      <c r="A65">
        <v>20</v>
      </c>
      <c r="B65">
        <v>1</v>
      </c>
    </row>
    <row r="66" spans="1:2" x14ac:dyDescent="0.2">
      <c r="A66">
        <v>15</v>
      </c>
      <c r="B66">
        <v>1</v>
      </c>
    </row>
    <row r="67" spans="1:2" x14ac:dyDescent="0.2">
      <c r="A67">
        <v>17</v>
      </c>
      <c r="B67">
        <v>1</v>
      </c>
    </row>
    <row r="68" spans="1:2" x14ac:dyDescent="0.2">
      <c r="A68">
        <v>24</v>
      </c>
      <c r="B68">
        <v>2</v>
      </c>
    </row>
    <row r="69" spans="1:2" x14ac:dyDescent="0.2">
      <c r="A69">
        <v>20</v>
      </c>
      <c r="B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Sherwin, Michael Daniel</cp:lastModifiedBy>
  <dcterms:created xsi:type="dcterms:W3CDTF">2020-01-11T12:17:33Z</dcterms:created>
  <dcterms:modified xsi:type="dcterms:W3CDTF">2020-01-27T17:43:00Z</dcterms:modified>
</cp:coreProperties>
</file>